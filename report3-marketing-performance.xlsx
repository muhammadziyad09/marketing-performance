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Insights &amp; Method" sheetId="3" state="visible" r:id="rId3"/>
  </sheets>
  <definedNames>
    <definedName name="_xlnm._FilterDatabase" localSheetId="1" hidden="1">'Data'!$A$1:$K$37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$#,##0"/>
  </numFmts>
  <fonts count="9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595959"/>
      <sz val="10"/>
    </font>
    <font>
      <b val="1"/>
      <color rgb="00FFFFFF"/>
      <sz val="10"/>
    </font>
    <font>
      <b val="1"/>
      <color rgb="001F3864"/>
      <sz val="14"/>
    </font>
    <font>
      <b val="1"/>
      <color rgb="001F3864"/>
      <sz val="11"/>
    </font>
    <font>
      <b val="1"/>
      <color rgb="001F3864"/>
      <sz val="13"/>
    </font>
    <font>
      <color rgb="00262626"/>
      <sz val="11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2" borderId="1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'Dashboard'!$A$11:$A$16</f>
            </numRef>
          </cat>
          <val>
            <numRef>
              <f>'Dashboard'!$B$11:$B$16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'Dashboard'!$D$11:$D$16</f>
            </numRef>
          </cat>
          <val>
            <numRef>
              <f>'Dashboard'!$E$11:$E$16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4" customHeight="1">
      <c r="A1" s="1" t="inlineStr">
        <is>
          <t>DIGITAL MARKETING  —  CAMPAIGN PERFORMANCE DASHBOARD</t>
        </is>
      </c>
    </row>
    <row r="2">
      <c r="A2" s="2" t="inlineStr">
        <is>
          <t>Sample portfolio project  •  Jan – Jun 2026 (USD)  •  KPIs are live formulas (SUM / SUMIFS) linked to the Data sheet</t>
        </is>
      </c>
    </row>
    <row r="4">
      <c r="A4" s="3" t="inlineStr">
        <is>
          <t>TOTAL AD SPEND ($)</t>
        </is>
      </c>
      <c r="C4" s="3" t="inlineStr">
        <is>
          <t>PAID REVENUE ($)</t>
        </is>
      </c>
      <c r="E4" s="3" t="inlineStr">
        <is>
          <t>CONVERSIONS</t>
        </is>
      </c>
      <c r="G4" s="3" t="inlineStr">
        <is>
          <t>BLENDED PAID ROAS</t>
        </is>
      </c>
      <c r="H4" s="3" t="inlineStr">
        <is>
          <t>AVG PAID CPA</t>
        </is>
      </c>
    </row>
    <row r="5">
      <c r="A5" s="4">
        <f>SUM(Data!C:C)</f>
        <v/>
      </c>
      <c r="C5" s="4">
        <f>SUMIFS(Data!G:G,Data!C:C,"&gt;0")</f>
        <v/>
      </c>
      <c r="E5" s="4">
        <f>SUM(Data!F:F)</f>
        <v/>
      </c>
      <c r="G5" s="5">
        <f>C5/A5</f>
        <v/>
      </c>
      <c r="H5" s="6">
        <f>SUM(Data!C:C)/SUMIFS(Data!F:F,Data!C:C,"&gt;0")</f>
        <v/>
      </c>
    </row>
    <row r="6"/>
    <row r="9">
      <c r="A9" s="7" t="inlineStr">
        <is>
          <t>Monthly Revenue (all channels)</t>
        </is>
      </c>
      <c r="D9" s="7" t="inlineStr">
        <is>
          <t>Revenue by Channel</t>
        </is>
      </c>
      <c r="G9" s="7" t="inlineStr">
        <is>
          <t>ROAS by Channel</t>
        </is>
      </c>
    </row>
    <row r="10">
      <c r="A10" s="8" t="inlineStr">
        <is>
          <t>Month</t>
        </is>
      </c>
      <c r="B10" s="8" t="inlineStr">
        <is>
          <t>Revenue ($)</t>
        </is>
      </c>
      <c r="D10" s="8" t="inlineStr">
        <is>
          <t>Channel</t>
        </is>
      </c>
      <c r="E10" s="8" t="inlineStr">
        <is>
          <t>Revenue ($)</t>
        </is>
      </c>
      <c r="G10" s="8" t="inlineStr">
        <is>
          <t>Channel</t>
        </is>
      </c>
      <c r="H10" s="8" t="inlineStr">
        <is>
          <t>ROAS</t>
        </is>
      </c>
    </row>
    <row r="11">
      <c r="A11" s="9" t="inlineStr">
        <is>
          <t>Jan</t>
        </is>
      </c>
      <c r="B11" s="10" t="n">
        <v>188764.35</v>
      </c>
      <c r="D11" s="9" t="inlineStr">
        <is>
          <t>Meta Ads</t>
        </is>
      </c>
      <c r="E11" s="10" t="n">
        <v>314362.7</v>
      </c>
      <c r="G11" s="9" t="inlineStr">
        <is>
          <t>Email</t>
        </is>
      </c>
      <c r="H11" s="11" t="n">
        <v>18.27520648148148</v>
      </c>
    </row>
    <row r="12">
      <c r="A12" s="9" t="inlineStr">
        <is>
          <t>Feb</t>
        </is>
      </c>
      <c r="B12" s="10" t="n">
        <v>212021.31</v>
      </c>
      <c r="D12" s="9" t="inlineStr">
        <is>
          <t>Google Ads</t>
        </is>
      </c>
      <c r="E12" s="10" t="n">
        <v>266529.74</v>
      </c>
      <c r="G12" s="9" t="inlineStr">
        <is>
          <t>TikTok Ads</t>
        </is>
      </c>
      <c r="H12" s="11" t="n">
        <v>4.814677292585893</v>
      </c>
    </row>
    <row r="13">
      <c r="A13" s="9" t="inlineStr">
        <is>
          <t>Mar</t>
        </is>
      </c>
      <c r="B13" s="10" t="n">
        <v>200617.98</v>
      </c>
      <c r="D13" s="9" t="inlineStr">
        <is>
          <t>TikTok Ads</t>
        </is>
      </c>
      <c r="E13" s="10" t="n">
        <v>224142.92</v>
      </c>
      <c r="G13" s="9" t="inlineStr">
        <is>
          <t>Meta Ads</t>
        </is>
      </c>
      <c r="H13" s="11" t="n">
        <v>4.111700050944567</v>
      </c>
    </row>
    <row r="14">
      <c r="A14" s="9" t="inlineStr">
        <is>
          <t>Apr</t>
        </is>
      </c>
      <c r="B14" s="10" t="n">
        <v>206702.42</v>
      </c>
      <c r="D14" s="9" t="inlineStr">
        <is>
          <t>Email</t>
        </is>
      </c>
      <c r="E14" s="10" t="n">
        <v>197372.23</v>
      </c>
      <c r="G14" s="9" t="inlineStr">
        <is>
          <t>Google Ads</t>
        </is>
      </c>
      <c r="H14" s="11" t="n">
        <v>3.136421832614488</v>
      </c>
    </row>
    <row r="15">
      <c r="A15" s="9" t="inlineStr">
        <is>
          <t>May</t>
        </is>
      </c>
      <c r="B15" s="10" t="n">
        <v>227208.73</v>
      </c>
      <c r="D15" s="9" t="inlineStr">
        <is>
          <t>Organic / SEO</t>
        </is>
      </c>
      <c r="E15" s="10" t="n">
        <v>166437.67</v>
      </c>
      <c r="G15" s="9" t="inlineStr">
        <is>
          <t>LinkedIn Ads</t>
        </is>
      </c>
      <c r="H15" s="11" t="n">
        <v>2.773989076923822</v>
      </c>
    </row>
    <row r="16">
      <c r="A16" s="9" t="inlineStr">
        <is>
          <t>Jun</t>
        </is>
      </c>
      <c r="B16" s="10" t="n">
        <v>225219.02</v>
      </c>
      <c r="D16" s="9" t="inlineStr">
        <is>
          <t>LinkedIn Ads</t>
        </is>
      </c>
      <c r="E16" s="10" t="n">
        <v>91688.55</v>
      </c>
      <c r="G16" s="9" t="inlineStr">
        <is>
          <t>Organic / SEO</t>
        </is>
      </c>
      <c r="H16" s="9" t="inlineStr">
        <is>
          <t>n/a — no ad spend</t>
        </is>
      </c>
    </row>
    <row r="19">
      <c r="A19" s="7" t="inlineStr">
        <is>
          <t>Monthly Ad Spend</t>
        </is>
      </c>
    </row>
    <row r="20">
      <c r="A20" s="8" t="inlineStr">
        <is>
          <t>Month</t>
        </is>
      </c>
      <c r="B20" s="8" t="inlineStr">
        <is>
          <t>Spend ($)</t>
        </is>
      </c>
    </row>
    <row r="21">
      <c r="A21" s="9" t="inlineStr">
        <is>
          <t>Jan</t>
        </is>
      </c>
      <c r="B21" s="10" t="n">
        <v>36331.94</v>
      </c>
    </row>
    <row r="22">
      <c r="A22" s="9" t="inlineStr">
        <is>
          <t>Feb</t>
        </is>
      </c>
      <c r="B22" s="10" t="n">
        <v>40337.62</v>
      </c>
    </row>
    <row r="23">
      <c r="A23" s="9" t="inlineStr">
        <is>
          <t>Mar</t>
        </is>
      </c>
      <c r="B23" s="10" t="n">
        <v>42155.03</v>
      </c>
    </row>
    <row r="24">
      <c r="A24" s="9" t="inlineStr">
        <is>
          <t>Apr</t>
        </is>
      </c>
      <c r="B24" s="10" t="n">
        <v>43071.77</v>
      </c>
    </row>
    <row r="25">
      <c r="A25" s="9" t="inlineStr">
        <is>
          <t>May</t>
        </is>
      </c>
      <c r="B25" s="10" t="n">
        <v>45241.98</v>
      </c>
    </row>
    <row r="26">
      <c r="A26" s="9" t="inlineStr">
        <is>
          <t>Jun</t>
        </is>
      </c>
      <c r="B26" s="10" t="n">
        <v>44703.28</v>
      </c>
    </row>
  </sheetData>
  <mergeCells count="16">
    <mergeCell ref="A4:B4"/>
    <mergeCell ref="G5:G6"/>
    <mergeCell ref="A1:J1"/>
    <mergeCell ref="E4:F4"/>
    <mergeCell ref="G4"/>
    <mergeCell ref="A19:B19"/>
    <mergeCell ref="A9:B9"/>
    <mergeCell ref="C5:D6"/>
    <mergeCell ref="A5:B6"/>
    <mergeCell ref="E5:F6"/>
    <mergeCell ref="H4:I4"/>
    <mergeCell ref="A2:J2"/>
    <mergeCell ref="H5:I6"/>
    <mergeCell ref="G9:H9"/>
    <mergeCell ref="D9:E9"/>
    <mergeCell ref="C4:D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3" customWidth="1" min="4" max="4"/>
    <col width="9" customWidth="1" min="5" max="5"/>
    <col width="12" customWidth="1" min="6" max="6"/>
    <col width="12" customWidth="1" min="7" max="7"/>
    <col width="8" customWidth="1" min="8" max="8"/>
    <col width="9" customWidth="1" min="9" max="9"/>
    <col width="9" customWidth="1" min="10" max="10"/>
    <col width="8" customWidth="1" min="11" max="11"/>
  </cols>
  <sheetData>
    <row r="1">
      <c r="A1" s="12" t="inlineStr">
        <is>
          <t>Month</t>
        </is>
      </c>
      <c r="B1" s="12" t="inlineStr">
        <is>
          <t>Channel</t>
        </is>
      </c>
      <c r="C1" s="12" t="inlineStr">
        <is>
          <t>Spend ($)</t>
        </is>
      </c>
      <c r="D1" s="12" t="inlineStr">
        <is>
          <t>Impressions</t>
        </is>
      </c>
      <c r="E1" s="12" t="inlineStr">
        <is>
          <t>Clicks</t>
        </is>
      </c>
      <c r="F1" s="12" t="inlineStr">
        <is>
          <t>Conversions</t>
        </is>
      </c>
      <c r="G1" s="12" t="inlineStr">
        <is>
          <t>Revenue ($)</t>
        </is>
      </c>
      <c r="H1" s="12" t="inlineStr">
        <is>
          <t>CTR %</t>
        </is>
      </c>
      <c r="I1" s="12" t="inlineStr">
        <is>
          <t>CPC ($)</t>
        </is>
      </c>
      <c r="J1" s="12" t="inlineStr">
        <is>
          <t>CPA ($)</t>
        </is>
      </c>
      <c r="K1" s="12" t="inlineStr">
        <is>
          <t>ROAS</t>
        </is>
      </c>
    </row>
    <row r="2">
      <c r="A2" t="inlineStr">
        <is>
          <t>Jan</t>
        </is>
      </c>
      <c r="B2" t="inlineStr">
        <is>
          <t>Google Ads</t>
        </is>
      </c>
      <c r="C2" s="13" t="n">
        <v>11773.84</v>
      </c>
      <c r="D2" t="n">
        <v>243151</v>
      </c>
      <c r="E2" t="n">
        <v>5135</v>
      </c>
      <c r="F2" t="n">
        <v>411</v>
      </c>
      <c r="G2" s="13" t="n">
        <v>40866.14</v>
      </c>
      <c r="H2" s="14" t="n">
        <v>2.11</v>
      </c>
      <c r="I2" s="14" t="n">
        <v>2.29</v>
      </c>
      <c r="J2" s="13" t="n">
        <v>28.65</v>
      </c>
      <c r="K2" s="14" t="n">
        <v>3.47</v>
      </c>
    </row>
    <row r="3">
      <c r="A3" t="inlineStr">
        <is>
          <t>Jan</t>
        </is>
      </c>
      <c r="B3" t="inlineStr">
        <is>
          <t>Meta Ads</t>
        </is>
      </c>
      <c r="C3" s="13" t="n">
        <v>10956.87</v>
      </c>
      <c r="D3" t="n">
        <v>333532</v>
      </c>
      <c r="E3" t="n">
        <v>8129</v>
      </c>
      <c r="F3" t="n">
        <v>465</v>
      </c>
      <c r="G3" s="13" t="n">
        <v>45674.53</v>
      </c>
      <c r="H3" s="14" t="n">
        <v>2.44</v>
      </c>
      <c r="I3" s="14" t="n">
        <v>1.35</v>
      </c>
      <c r="J3" s="13" t="n">
        <v>23.56</v>
      </c>
      <c r="K3" s="14" t="n">
        <v>4.17</v>
      </c>
    </row>
    <row r="4">
      <c r="A4" t="inlineStr">
        <is>
          <t>Jan</t>
        </is>
      </c>
      <c r="B4" t="inlineStr">
        <is>
          <t>TikTok Ads</t>
        </is>
      </c>
      <c r="C4" s="13" t="n">
        <v>7028.33</v>
      </c>
      <c r="D4" t="n">
        <v>302105</v>
      </c>
      <c r="E4" t="n">
        <v>8067</v>
      </c>
      <c r="F4" t="n">
        <v>347</v>
      </c>
      <c r="G4" s="13" t="n">
        <v>33562.15</v>
      </c>
      <c r="H4" s="14" t="n">
        <v>2.67</v>
      </c>
      <c r="I4" s="14" t="n">
        <v>0.87</v>
      </c>
      <c r="J4" s="13" t="n">
        <v>20.25</v>
      </c>
      <c r="K4" s="14" t="n">
        <v>4.78</v>
      </c>
    </row>
    <row r="5">
      <c r="A5" t="inlineStr">
        <is>
          <t>Jan</t>
        </is>
      </c>
      <c r="B5" t="inlineStr">
        <is>
          <t>LinkedIn Ads</t>
        </is>
      </c>
      <c r="C5" s="13" t="n">
        <v>4772.9</v>
      </c>
      <c r="D5" t="n">
        <v>32565</v>
      </c>
      <c r="E5" t="n">
        <v>843</v>
      </c>
      <c r="F5" t="n">
        <v>66</v>
      </c>
      <c r="G5" s="13" t="n">
        <v>14217.51</v>
      </c>
      <c r="H5" s="14" t="n">
        <v>2.59</v>
      </c>
      <c r="I5" s="14" t="n">
        <v>5.66</v>
      </c>
      <c r="J5" s="13" t="n">
        <v>72.31999999999999</v>
      </c>
      <c r="K5" s="14" t="n">
        <v>2.98</v>
      </c>
    </row>
    <row r="6">
      <c r="A6" t="inlineStr">
        <is>
          <t>Jan</t>
        </is>
      </c>
      <c r="B6" t="inlineStr">
        <is>
          <t>Email</t>
        </is>
      </c>
      <c r="C6" s="13" t="n">
        <v>1800</v>
      </c>
      <c r="D6" t="n">
        <v>117977</v>
      </c>
      <c r="E6" t="n">
        <v>5309</v>
      </c>
      <c r="F6" t="n">
        <v>313</v>
      </c>
      <c r="G6" s="13" t="n">
        <v>31102.65</v>
      </c>
      <c r="H6" s="14" t="n">
        <v>4.5</v>
      </c>
      <c r="I6" s="14" t="n">
        <v>0.34</v>
      </c>
      <c r="J6" s="13" t="n">
        <v>5.75</v>
      </c>
      <c r="K6" s="14" t="n">
        <v>17.28</v>
      </c>
    </row>
    <row r="7">
      <c r="A7" t="inlineStr">
        <is>
          <t>Jan</t>
        </is>
      </c>
      <c r="B7" t="inlineStr">
        <is>
          <t>Organic / SEO</t>
        </is>
      </c>
      <c r="C7" s="13" t="n">
        <v>0</v>
      </c>
      <c r="D7" t="n">
        <v>269500</v>
      </c>
      <c r="E7" t="n">
        <v>7546</v>
      </c>
      <c r="F7" t="n">
        <v>250</v>
      </c>
      <c r="G7" s="13" t="n">
        <v>23341.37</v>
      </c>
      <c r="H7" s="14" t="n">
        <v>2.8</v>
      </c>
      <c r="I7" s="14" t="n">
        <v>0</v>
      </c>
      <c r="J7" s="13" t="n">
        <v>0</v>
      </c>
      <c r="K7" s="14" t="n">
        <v/>
      </c>
    </row>
    <row r="8">
      <c r="A8" t="inlineStr">
        <is>
          <t>Feb</t>
        </is>
      </c>
      <c r="B8" t="inlineStr">
        <is>
          <t>Google Ads</t>
        </is>
      </c>
      <c r="C8" s="13" t="n">
        <v>13394.86</v>
      </c>
      <c r="D8" t="n">
        <v>196585</v>
      </c>
      <c r="E8" t="n">
        <v>5746</v>
      </c>
      <c r="F8" t="n">
        <v>450</v>
      </c>
      <c r="G8" s="13" t="n">
        <v>43899.61</v>
      </c>
      <c r="H8" s="14" t="n">
        <v>2.92</v>
      </c>
      <c r="I8" s="14" t="n">
        <v>2.33</v>
      </c>
      <c r="J8" s="13" t="n">
        <v>29.77</v>
      </c>
      <c r="K8" s="14" t="n">
        <v>3.28</v>
      </c>
    </row>
    <row r="9">
      <c r="A9" t="inlineStr">
        <is>
          <t>Feb</t>
        </is>
      </c>
      <c r="B9" t="inlineStr">
        <is>
          <t>Meta Ads</t>
        </is>
      </c>
      <c r="C9" s="13" t="n">
        <v>12162.29</v>
      </c>
      <c r="D9" t="n">
        <v>263526</v>
      </c>
      <c r="E9" t="n">
        <v>8785</v>
      </c>
      <c r="F9" t="n">
        <v>544</v>
      </c>
      <c r="G9" s="13" t="n">
        <v>53195.94</v>
      </c>
      <c r="H9" s="14" t="n">
        <v>3.33</v>
      </c>
      <c r="I9" s="14" t="n">
        <v>1.38</v>
      </c>
      <c r="J9" s="13" t="n">
        <v>22.36</v>
      </c>
      <c r="K9" s="14" t="n">
        <v>4.37</v>
      </c>
    </row>
    <row r="10">
      <c r="A10" t="inlineStr">
        <is>
          <t>Feb</t>
        </is>
      </c>
      <c r="B10" t="inlineStr">
        <is>
          <t>TikTok Ads</t>
        </is>
      </c>
      <c r="C10" s="13" t="n">
        <v>7546.95</v>
      </c>
      <c r="D10" t="n">
        <v>287767</v>
      </c>
      <c r="E10" t="n">
        <v>9219</v>
      </c>
      <c r="F10" t="n">
        <v>401</v>
      </c>
      <c r="G10" s="13" t="n">
        <v>39456.27</v>
      </c>
      <c r="H10" s="14" t="n">
        <v>3.2</v>
      </c>
      <c r="I10" s="14" t="n">
        <v>0.82</v>
      </c>
      <c r="J10" s="13" t="n">
        <v>18.82</v>
      </c>
      <c r="K10" s="14" t="n">
        <v>5.23</v>
      </c>
    </row>
    <row r="11">
      <c r="A11" t="inlineStr">
        <is>
          <t>Feb</t>
        </is>
      </c>
      <c r="B11" t="inlineStr">
        <is>
          <t>LinkedIn Ads</t>
        </is>
      </c>
      <c r="C11" s="13" t="n">
        <v>5433.52</v>
      </c>
      <c r="D11" t="n">
        <v>29748</v>
      </c>
      <c r="E11" t="n">
        <v>934</v>
      </c>
      <c r="F11" t="n">
        <v>68</v>
      </c>
      <c r="G11" s="13" t="n">
        <v>14444.13</v>
      </c>
      <c r="H11" s="14" t="n">
        <v>3.14</v>
      </c>
      <c r="I11" s="14" t="n">
        <v>5.82</v>
      </c>
      <c r="J11" s="13" t="n">
        <v>79.90000000000001</v>
      </c>
      <c r="K11" s="14" t="n">
        <v>2.66</v>
      </c>
    </row>
    <row r="12">
      <c r="A12" t="inlineStr">
        <is>
          <t>Feb</t>
        </is>
      </c>
      <c r="B12" t="inlineStr">
        <is>
          <t>Email</t>
        </is>
      </c>
      <c r="C12" s="13" t="n">
        <v>1800</v>
      </c>
      <c r="D12" t="n">
        <v>124711</v>
      </c>
      <c r="E12" t="n">
        <v>5612</v>
      </c>
      <c r="F12" t="n">
        <v>342</v>
      </c>
      <c r="G12" s="13" t="n">
        <v>32228.99</v>
      </c>
      <c r="H12" s="14" t="n">
        <v>4.5</v>
      </c>
      <c r="I12" s="14" t="n">
        <v>0.32</v>
      </c>
      <c r="J12" s="13" t="n">
        <v>5.26</v>
      </c>
      <c r="K12" s="14" t="n">
        <v>17.9</v>
      </c>
    </row>
    <row r="13">
      <c r="A13" t="inlineStr">
        <is>
          <t>Feb</t>
        </is>
      </c>
      <c r="B13" t="inlineStr">
        <is>
          <t>Organic / SEO</t>
        </is>
      </c>
      <c r="C13" s="13" t="n">
        <v>0</v>
      </c>
      <c r="D13" t="n">
        <v>291535</v>
      </c>
      <c r="E13" t="n">
        <v>8163</v>
      </c>
      <c r="F13" t="n">
        <v>292</v>
      </c>
      <c r="G13" s="13" t="n">
        <v>28796.37</v>
      </c>
      <c r="H13" s="14" t="n">
        <v>2.8</v>
      </c>
      <c r="I13" s="14" t="n">
        <v>0</v>
      </c>
      <c r="J13" s="13" t="n">
        <v>0</v>
      </c>
      <c r="K13" s="14" t="n">
        <v/>
      </c>
    </row>
    <row r="14">
      <c r="A14" t="inlineStr">
        <is>
          <t>Mar</t>
        </is>
      </c>
      <c r="B14" t="inlineStr">
        <is>
          <t>Google Ads</t>
        </is>
      </c>
      <c r="C14" s="13" t="n">
        <v>14818.27</v>
      </c>
      <c r="D14" t="n">
        <v>208110</v>
      </c>
      <c r="E14" t="n">
        <v>6426</v>
      </c>
      <c r="F14" t="n">
        <v>480</v>
      </c>
      <c r="G14" s="13" t="n">
        <v>44910.25</v>
      </c>
      <c r="H14" s="14" t="n">
        <v>3.09</v>
      </c>
      <c r="I14" s="14" t="n">
        <v>2.31</v>
      </c>
      <c r="J14" s="13" t="n">
        <v>30.87</v>
      </c>
      <c r="K14" s="14" t="n">
        <v>3.03</v>
      </c>
    </row>
    <row r="15">
      <c r="A15" t="inlineStr">
        <is>
          <t>Mar</t>
        </is>
      </c>
      <c r="B15" t="inlineStr">
        <is>
          <t>Meta Ads</t>
        </is>
      </c>
      <c r="C15" s="13" t="n">
        <v>13229.8</v>
      </c>
      <c r="D15" t="n">
        <v>281936</v>
      </c>
      <c r="E15" t="n">
        <v>9347</v>
      </c>
      <c r="F15" t="n">
        <v>552</v>
      </c>
      <c r="G15" s="13" t="n">
        <v>51872.97</v>
      </c>
      <c r="H15" s="14" t="n">
        <v>3.32</v>
      </c>
      <c r="I15" s="14" t="n">
        <v>1.42</v>
      </c>
      <c r="J15" s="13" t="n">
        <v>23.97</v>
      </c>
      <c r="K15" s="14" t="n">
        <v>3.92</v>
      </c>
    </row>
    <row r="16">
      <c r="A16" t="inlineStr">
        <is>
          <t>Mar</t>
        </is>
      </c>
      <c r="B16" t="inlineStr">
        <is>
          <t>TikTok Ads</t>
        </is>
      </c>
      <c r="C16" s="13" t="n">
        <v>7046.36</v>
      </c>
      <c r="D16" t="n">
        <v>442091</v>
      </c>
      <c r="E16" t="n">
        <v>8469</v>
      </c>
      <c r="F16" t="n">
        <v>352</v>
      </c>
      <c r="G16" s="13" t="n">
        <v>32728.72</v>
      </c>
      <c r="H16" s="14" t="n">
        <v>1.92</v>
      </c>
      <c r="I16" s="14" t="n">
        <v>0.83</v>
      </c>
      <c r="J16" s="13" t="n">
        <v>20.02</v>
      </c>
      <c r="K16" s="14" t="n">
        <v>4.64</v>
      </c>
    </row>
    <row r="17">
      <c r="A17" t="inlineStr">
        <is>
          <t>Mar</t>
        </is>
      </c>
      <c r="B17" t="inlineStr">
        <is>
          <t>LinkedIn Ads</t>
        </is>
      </c>
      <c r="C17" s="13" t="n">
        <v>5260.6</v>
      </c>
      <c r="D17" t="n">
        <v>32204</v>
      </c>
      <c r="E17" t="n">
        <v>916</v>
      </c>
      <c r="F17" t="n">
        <v>64</v>
      </c>
      <c r="G17" s="13" t="n">
        <v>13820.24</v>
      </c>
      <c r="H17" s="14" t="n">
        <v>2.84</v>
      </c>
      <c r="I17" s="14" t="n">
        <v>5.74</v>
      </c>
      <c r="J17" s="13" t="n">
        <v>82.2</v>
      </c>
      <c r="K17" s="14" t="n">
        <v>2.63</v>
      </c>
    </row>
    <row r="18">
      <c r="A18" t="inlineStr">
        <is>
          <t>Mar</t>
        </is>
      </c>
      <c r="B18" t="inlineStr">
        <is>
          <t>Email</t>
        </is>
      </c>
      <c r="C18" s="13" t="n">
        <v>1800</v>
      </c>
      <c r="D18" t="n">
        <v>124400</v>
      </c>
      <c r="E18" t="n">
        <v>5598</v>
      </c>
      <c r="F18" t="n">
        <v>329</v>
      </c>
      <c r="G18" s="13" t="n">
        <v>32125.94</v>
      </c>
      <c r="H18" s="14" t="n">
        <v>4.5</v>
      </c>
      <c r="I18" s="14" t="n">
        <v>0.32</v>
      </c>
      <c r="J18" s="13" t="n">
        <v>5.47</v>
      </c>
      <c r="K18" s="14" t="n">
        <v>17.85</v>
      </c>
    </row>
    <row r="19">
      <c r="A19" t="inlineStr">
        <is>
          <t>Mar</t>
        </is>
      </c>
      <c r="B19" t="inlineStr">
        <is>
          <t>Organic / SEO</t>
        </is>
      </c>
      <c r="C19" s="13" t="n">
        <v>0</v>
      </c>
      <c r="D19" t="n">
        <v>285071</v>
      </c>
      <c r="E19" t="n">
        <v>7982</v>
      </c>
      <c r="F19" t="n">
        <v>262</v>
      </c>
      <c r="G19" s="13" t="n">
        <v>25159.86</v>
      </c>
      <c r="H19" s="14" t="n">
        <v>2.8</v>
      </c>
      <c r="I19" s="14" t="n">
        <v>0</v>
      </c>
      <c r="J19" s="13" t="n">
        <v>0</v>
      </c>
      <c r="K19" s="14" t="n">
        <v/>
      </c>
    </row>
    <row r="20">
      <c r="A20" t="inlineStr">
        <is>
          <t>Apr</t>
        </is>
      </c>
      <c r="B20" t="inlineStr">
        <is>
          <t>Google Ads</t>
        </is>
      </c>
      <c r="C20" s="13" t="n">
        <v>15208.59</v>
      </c>
      <c r="D20" t="n">
        <v>345941</v>
      </c>
      <c r="E20" t="n">
        <v>6447</v>
      </c>
      <c r="F20" t="n">
        <v>514</v>
      </c>
      <c r="G20" s="13" t="n">
        <v>47978.13</v>
      </c>
      <c r="H20" s="14" t="n">
        <v>1.86</v>
      </c>
      <c r="I20" s="14" t="n">
        <v>2.36</v>
      </c>
      <c r="J20" s="13" t="n">
        <v>29.59</v>
      </c>
      <c r="K20" s="14" t="n">
        <v>3.15</v>
      </c>
    </row>
    <row r="21">
      <c r="A21" t="inlineStr">
        <is>
          <t>Apr</t>
        </is>
      </c>
      <c r="B21" t="inlineStr">
        <is>
          <t>Meta Ads</t>
        </is>
      </c>
      <c r="C21" s="13" t="n">
        <v>12465.04</v>
      </c>
      <c r="D21" t="n">
        <v>486501</v>
      </c>
      <c r="E21" t="n">
        <v>9305</v>
      </c>
      <c r="F21" t="n">
        <v>532</v>
      </c>
      <c r="G21" s="13" t="n">
        <v>49893.45</v>
      </c>
      <c r="H21" s="14" t="n">
        <v>1.91</v>
      </c>
      <c r="I21" s="14" t="n">
        <v>1.34</v>
      </c>
      <c r="J21" s="13" t="n">
        <v>23.43</v>
      </c>
      <c r="K21" s="14" t="n">
        <v>4</v>
      </c>
    </row>
    <row r="22">
      <c r="A22" t="inlineStr">
        <is>
          <t>Apr</t>
        </is>
      </c>
      <c r="B22" t="inlineStr">
        <is>
          <t>TikTok Ads</t>
        </is>
      </c>
      <c r="C22" s="13" t="n">
        <v>7674.55</v>
      </c>
      <c r="D22" t="n">
        <v>359499</v>
      </c>
      <c r="E22" t="n">
        <v>8892</v>
      </c>
      <c r="F22" t="n">
        <v>365</v>
      </c>
      <c r="G22" s="13" t="n">
        <v>34983.5</v>
      </c>
      <c r="H22" s="14" t="n">
        <v>2.47</v>
      </c>
      <c r="I22" s="14" t="n">
        <v>0.86</v>
      </c>
      <c r="J22" s="13" t="n">
        <v>21.03</v>
      </c>
      <c r="K22" s="14" t="n">
        <v>4.56</v>
      </c>
    </row>
    <row r="23">
      <c r="A23" t="inlineStr">
        <is>
          <t>Apr</t>
        </is>
      </c>
      <c r="B23" t="inlineStr">
        <is>
          <t>LinkedIn Ads</t>
        </is>
      </c>
      <c r="C23" s="13" t="n">
        <v>5923.59</v>
      </c>
      <c r="D23" t="n">
        <v>39642</v>
      </c>
      <c r="E23" t="n">
        <v>1049</v>
      </c>
      <c r="F23" t="n">
        <v>76</v>
      </c>
      <c r="G23" s="13" t="n">
        <v>15828.95</v>
      </c>
      <c r="H23" s="14" t="n">
        <v>2.65</v>
      </c>
      <c r="I23" s="14" t="n">
        <v>5.65</v>
      </c>
      <c r="J23" s="13" t="n">
        <v>77.94</v>
      </c>
      <c r="K23" s="14" t="n">
        <v>2.67</v>
      </c>
    </row>
    <row r="24">
      <c r="A24" t="inlineStr">
        <is>
          <t>Apr</t>
        </is>
      </c>
      <c r="B24" t="inlineStr">
        <is>
          <t>Email</t>
        </is>
      </c>
      <c r="C24" s="13" t="n">
        <v>1800</v>
      </c>
      <c r="D24" t="n">
        <v>119555</v>
      </c>
      <c r="E24" t="n">
        <v>5380</v>
      </c>
      <c r="F24" t="n">
        <v>326</v>
      </c>
      <c r="G24" s="13" t="n">
        <v>31306.46</v>
      </c>
      <c r="H24" s="14" t="n">
        <v>4.5</v>
      </c>
      <c r="I24" s="14" t="n">
        <v>0.33</v>
      </c>
      <c r="J24" s="13" t="n">
        <v>5.52</v>
      </c>
      <c r="K24" s="14" t="n">
        <v>17.39</v>
      </c>
    </row>
    <row r="25">
      <c r="A25" t="inlineStr">
        <is>
          <t>Apr</t>
        </is>
      </c>
      <c r="B25" t="inlineStr">
        <is>
          <t>Organic / SEO</t>
        </is>
      </c>
      <c r="C25" s="13" t="n">
        <v>0</v>
      </c>
      <c r="D25" t="n">
        <v>299250</v>
      </c>
      <c r="E25" t="n">
        <v>8379</v>
      </c>
      <c r="F25" t="n">
        <v>277</v>
      </c>
      <c r="G25" s="13" t="n">
        <v>26711.93</v>
      </c>
      <c r="H25" s="14" t="n">
        <v>2.8</v>
      </c>
      <c r="I25" s="14" t="n">
        <v>0</v>
      </c>
      <c r="J25" s="13" t="n">
        <v>0</v>
      </c>
      <c r="K25" s="14" t="n">
        <v/>
      </c>
    </row>
    <row r="26">
      <c r="A26" t="inlineStr">
        <is>
          <t>May</t>
        </is>
      </c>
      <c r="B26" t="inlineStr">
        <is>
          <t>Google Ads</t>
        </is>
      </c>
      <c r="C26" s="13" t="n">
        <v>15090.37</v>
      </c>
      <c r="D26" t="n">
        <v>288311</v>
      </c>
      <c r="E26" t="n">
        <v>6370</v>
      </c>
      <c r="F26" t="n">
        <v>499</v>
      </c>
      <c r="G26" s="13" t="n">
        <v>46558.35</v>
      </c>
      <c r="H26" s="14" t="n">
        <v>2.21</v>
      </c>
      <c r="I26" s="14" t="n">
        <v>2.37</v>
      </c>
      <c r="J26" s="13" t="n">
        <v>30.24</v>
      </c>
      <c r="K26" s="14" t="n">
        <v>3.09</v>
      </c>
    </row>
    <row r="27">
      <c r="A27" t="inlineStr">
        <is>
          <t>May</t>
        </is>
      </c>
      <c r="B27" t="inlineStr">
        <is>
          <t>Meta Ads</t>
        </is>
      </c>
      <c r="C27" s="13" t="n">
        <v>14406.95</v>
      </c>
      <c r="D27" t="n">
        <v>470543</v>
      </c>
      <c r="E27" t="n">
        <v>10501</v>
      </c>
      <c r="F27" t="n">
        <v>595</v>
      </c>
      <c r="G27" s="13" t="n">
        <v>59161.44</v>
      </c>
      <c r="H27" s="14" t="n">
        <v>2.23</v>
      </c>
      <c r="I27" s="14" t="n">
        <v>1.37</v>
      </c>
      <c r="J27" s="13" t="n">
        <v>24.21</v>
      </c>
      <c r="K27" s="14" t="n">
        <v>4.11</v>
      </c>
    </row>
    <row r="28">
      <c r="A28" t="inlineStr">
        <is>
          <t>May</t>
        </is>
      </c>
      <c r="B28" t="inlineStr">
        <is>
          <t>TikTok Ads</t>
        </is>
      </c>
      <c r="C28" s="13" t="n">
        <v>8282.83</v>
      </c>
      <c r="D28" t="n">
        <v>300564</v>
      </c>
      <c r="E28" t="n">
        <v>10176</v>
      </c>
      <c r="F28" t="n">
        <v>425</v>
      </c>
      <c r="G28" s="13" t="n">
        <v>41788.88</v>
      </c>
      <c r="H28" s="14" t="n">
        <v>3.39</v>
      </c>
      <c r="I28" s="14" t="n">
        <v>0.8100000000000001</v>
      </c>
      <c r="J28" s="13" t="n">
        <v>19.49</v>
      </c>
      <c r="K28" s="14" t="n">
        <v>5.05</v>
      </c>
    </row>
    <row r="29">
      <c r="A29" t="inlineStr">
        <is>
          <t>May</t>
        </is>
      </c>
      <c r="B29" t="inlineStr">
        <is>
          <t>LinkedIn Ads</t>
        </is>
      </c>
      <c r="C29" s="13" t="n">
        <v>5661.83</v>
      </c>
      <c r="D29" t="n">
        <v>47157</v>
      </c>
      <c r="E29" t="n">
        <v>1042</v>
      </c>
      <c r="F29" t="n">
        <v>76</v>
      </c>
      <c r="G29" s="13" t="n">
        <v>16177.75</v>
      </c>
      <c r="H29" s="14" t="n">
        <v>2.21</v>
      </c>
      <c r="I29" s="14" t="n">
        <v>5.43</v>
      </c>
      <c r="J29" s="13" t="n">
        <v>74.5</v>
      </c>
      <c r="K29" s="14" t="n">
        <v>2.86</v>
      </c>
    </row>
    <row r="30">
      <c r="A30" t="inlineStr">
        <is>
          <t>May</t>
        </is>
      </c>
      <c r="B30" t="inlineStr">
        <is>
          <t>Email</t>
        </is>
      </c>
      <c r="C30" s="13" t="n">
        <v>1800</v>
      </c>
      <c r="D30" t="n">
        <v>129555</v>
      </c>
      <c r="E30" t="n">
        <v>5830</v>
      </c>
      <c r="F30" t="n">
        <v>358</v>
      </c>
      <c r="G30" s="13" t="n">
        <v>33873.99</v>
      </c>
      <c r="H30" s="14" t="n">
        <v>4.5</v>
      </c>
      <c r="I30" s="14" t="n">
        <v>0.31</v>
      </c>
      <c r="J30" s="13" t="n">
        <v>5.03</v>
      </c>
      <c r="K30" s="14" t="n">
        <v>18.82</v>
      </c>
    </row>
    <row r="31">
      <c r="A31" t="inlineStr">
        <is>
          <t>May</t>
        </is>
      </c>
      <c r="B31" t="inlineStr">
        <is>
          <t>Organic / SEO</t>
        </is>
      </c>
      <c r="C31" s="13" t="n">
        <v>0</v>
      </c>
      <c r="D31" t="n">
        <v>318964</v>
      </c>
      <c r="E31" t="n">
        <v>8931</v>
      </c>
      <c r="F31" t="n">
        <v>321</v>
      </c>
      <c r="G31" s="13" t="n">
        <v>29648.32</v>
      </c>
      <c r="H31" s="14" t="n">
        <v>2.8</v>
      </c>
      <c r="I31" s="14" t="n">
        <v>0</v>
      </c>
      <c r="J31" s="13" t="n">
        <v>0</v>
      </c>
      <c r="K31" s="14" t="n">
        <v/>
      </c>
    </row>
    <row r="32">
      <c r="A32" t="inlineStr">
        <is>
          <t>Jun</t>
        </is>
      </c>
      <c r="B32" t="inlineStr">
        <is>
          <t>Google Ads</t>
        </is>
      </c>
      <c r="C32" s="13" t="n">
        <v>14692.99</v>
      </c>
      <c r="D32" t="n">
        <v>321389</v>
      </c>
      <c r="E32" t="n">
        <v>6209</v>
      </c>
      <c r="F32" t="n">
        <v>449</v>
      </c>
      <c r="G32" s="13" t="n">
        <v>42317.26</v>
      </c>
      <c r="H32" s="14" t="n">
        <v>1.93</v>
      </c>
      <c r="I32" s="14" t="n">
        <v>2.37</v>
      </c>
      <c r="J32" s="13" t="n">
        <v>32.72</v>
      </c>
      <c r="K32" s="14" t="n">
        <v>2.88</v>
      </c>
    </row>
    <row r="33">
      <c r="A33" t="inlineStr">
        <is>
          <t>Jun</t>
        </is>
      </c>
      <c r="B33" t="inlineStr">
        <is>
          <t>Meta Ads</t>
        </is>
      </c>
      <c r="C33" s="13" t="n">
        <v>13234.7</v>
      </c>
      <c r="D33" t="n">
        <v>288752</v>
      </c>
      <c r="E33" t="n">
        <v>9695</v>
      </c>
      <c r="F33" t="n">
        <v>590</v>
      </c>
      <c r="G33" s="13" t="n">
        <v>54564.37</v>
      </c>
      <c r="H33" s="14" t="n">
        <v>3.36</v>
      </c>
      <c r="I33" s="14" t="n">
        <v>1.37</v>
      </c>
      <c r="J33" s="13" t="n">
        <v>22.43</v>
      </c>
      <c r="K33" s="14" t="n">
        <v>4.12</v>
      </c>
    </row>
    <row r="34">
      <c r="A34" t="inlineStr">
        <is>
          <t>Jun</t>
        </is>
      </c>
      <c r="B34" t="inlineStr">
        <is>
          <t>TikTok Ads</t>
        </is>
      </c>
      <c r="C34" s="13" t="n">
        <v>8975.07</v>
      </c>
      <c r="D34" t="n">
        <v>346027</v>
      </c>
      <c r="E34" t="n">
        <v>10983</v>
      </c>
      <c r="F34" t="n">
        <v>440</v>
      </c>
      <c r="G34" s="13" t="n">
        <v>41623.4</v>
      </c>
      <c r="H34" s="14" t="n">
        <v>3.17</v>
      </c>
      <c r="I34" s="14" t="n">
        <v>0.82</v>
      </c>
      <c r="J34" s="13" t="n">
        <v>20.4</v>
      </c>
      <c r="K34" s="14" t="n">
        <v>4.64</v>
      </c>
    </row>
    <row r="35">
      <c r="A35" t="inlineStr">
        <is>
          <t>Jun</t>
        </is>
      </c>
      <c r="B35" t="inlineStr">
        <is>
          <t>LinkedIn Ads</t>
        </is>
      </c>
      <c r="C35" s="13" t="n">
        <v>6000.52</v>
      </c>
      <c r="D35" t="n">
        <v>37167</v>
      </c>
      <c r="E35" t="n">
        <v>1096</v>
      </c>
      <c r="F35" t="n">
        <v>79</v>
      </c>
      <c r="G35" s="13" t="n">
        <v>17199.97</v>
      </c>
      <c r="H35" s="14" t="n">
        <v>2.95</v>
      </c>
      <c r="I35" s="14" t="n">
        <v>5.47</v>
      </c>
      <c r="J35" s="13" t="n">
        <v>75.95999999999999</v>
      </c>
      <c r="K35" s="14" t="n">
        <v>2.87</v>
      </c>
    </row>
    <row r="36">
      <c r="A36" t="inlineStr">
        <is>
          <t>Jun</t>
        </is>
      </c>
      <c r="B36" t="inlineStr">
        <is>
          <t>Email</t>
        </is>
      </c>
      <c r="C36" s="13" t="n">
        <v>1800</v>
      </c>
      <c r="D36" t="n">
        <v>136511</v>
      </c>
      <c r="E36" t="n">
        <v>6143</v>
      </c>
      <c r="F36" t="n">
        <v>385</v>
      </c>
      <c r="G36" s="13" t="n">
        <v>36734.2</v>
      </c>
      <c r="H36" s="14" t="n">
        <v>4.5</v>
      </c>
      <c r="I36" s="14" t="n">
        <v>0.29</v>
      </c>
      <c r="J36" s="13" t="n">
        <v>4.68</v>
      </c>
      <c r="K36" s="14" t="n">
        <v>20.41</v>
      </c>
    </row>
    <row r="37">
      <c r="A37" t="inlineStr">
        <is>
          <t>Jun</t>
        </is>
      </c>
      <c r="B37" t="inlineStr">
        <is>
          <t>Organic / SEO</t>
        </is>
      </c>
      <c r="C37" s="13" t="n">
        <v>0</v>
      </c>
      <c r="D37" t="n">
        <v>348571</v>
      </c>
      <c r="E37" t="n">
        <v>9760</v>
      </c>
      <c r="F37" t="n">
        <v>334</v>
      </c>
      <c r="G37" s="13" t="n">
        <v>32779.82</v>
      </c>
      <c r="H37" s="14" t="n">
        <v>2.8</v>
      </c>
      <c r="I37" s="14" t="n">
        <v>0</v>
      </c>
      <c r="J37" s="13" t="n">
        <v>0</v>
      </c>
      <c r="K37" s="14" t="n">
        <v/>
      </c>
    </row>
  </sheetData>
  <autoFilter ref="A1:K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 ht="18" customHeight="1">
      <c r="A1" s="15" t="inlineStr">
        <is>
          <t>KEY INSIGHTS</t>
        </is>
      </c>
    </row>
    <row r="2" ht="18" customHeight="1">
      <c r="A2" s="16" t="inlineStr">
        <is>
          <t>1. Paid media returned 4.34x: $251,842 of spend produced $1,094,096 of tracked paid revenue.</t>
        </is>
      </c>
    </row>
    <row r="3" ht="30" customHeight="1">
      <c r="A3" s="16" t="inlineStr">
        <is>
          <t>2. Meta Ads is the revenue engine ($314,363); TikTok is the efficiency leader among paid social at 4.81x ROAS.</t>
        </is>
      </c>
    </row>
    <row r="4" ht="30" customHeight="1">
      <c r="A4" s="16" t="inlineStr">
        <is>
          <t>3. Email is the efficiency champion (owned channel, ~18x on platform cost alone) — grow the list before buying more clicks.</t>
        </is>
      </c>
    </row>
    <row r="5" ht="30" customHeight="1">
      <c r="A5" s="16" t="inlineStr">
        <is>
          <t>4. Average paid CPA is $23 across 12,629 total conversions — LinkedIn's CPA only pays back on its higher-value orders.</t>
        </is>
      </c>
    </row>
    <row r="6" ht="30" customHeight="1">
      <c r="A6" s="16" t="inlineStr">
        <is>
          <t>5. Recommendation in the full report: shift 10–15% of LinkedIn budget to TikTok tests, keep Google for high-intent search.</t>
        </is>
      </c>
    </row>
    <row r="7" ht="18" customHeight="1">
      <c r="A7" s="16" t="inlineStr"/>
    </row>
    <row r="8" ht="18" customHeight="1">
      <c r="A8" s="17" t="inlineStr">
        <is>
          <t>HOW THIS WAS MADE</t>
        </is>
      </c>
    </row>
    <row r="9" ht="30" customHeight="1">
      <c r="A9" s="16" t="inlineStr">
        <is>
          <t>• Channel exports (Google, Meta, TikTok, LinkedIn, email, GA) merged and cleaned in Python, then modelled in Excel.</t>
        </is>
      </c>
    </row>
    <row r="10" ht="30" customHeight="1">
      <c r="A10" s="16" t="inlineStr">
        <is>
          <t>• SUMIFS separates paid from organic, so ROAS is honest — organic revenue is reported, never blended into paid ROAS.</t>
        </is>
      </c>
    </row>
    <row r="11" ht="18" customHeight="1">
      <c r="A11" s="16" t="inlineStr">
        <is>
          <t>• Sample project on sample data. Client data stays confidential and is never reused.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2026-10-22T07:32:48+00:00Z</dcterms:created>
  <dcterms:modified xmlns:dcterms="http://purl.org/dc/terms/" xmlns:xsi="http://www.w3.org/2001/XMLSchema-instance" xsi:type="dcterms:W3CDTF">2026-10-22T07:32:48+00:00Z</dcterms:modified>
</cp:coreProperties>
</file>